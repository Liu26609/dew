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1805" activeTab="2"/>
  </bookViews>
  <sheets>
    <sheet name="prop_shareCard" sheetId="5" r:id="rId1"/>
    <sheet name="prop_AttBook" sheetId="4" r:id="rId2"/>
    <sheet name="prop_list" sheetId="3" r:id="rId3"/>
    <sheet name="cfg_equipTpl" sheetId="2" r:id="rId4"/>
    <sheet name="cfg_att_preference" sheetId="6" r:id="rId5"/>
  </sheets>
  <externalReferences>
    <externalReference r:id="rId6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<sst xmlns="http://schemas.openxmlformats.org/spreadsheetml/2006/main" count="440" uniqueCount="300">
  <si>
    <t>id</t>
  </si>
  <si>
    <t>icon</t>
  </si>
  <si>
    <t>道具名称</t>
  </si>
  <si>
    <t>道具价值</t>
  </si>
  <si>
    <t>使用指令</t>
  </si>
  <si>
    <t>指令示例</t>
  </si>
  <si>
    <t>描述</t>
  </si>
  <si>
    <t>name</t>
  </si>
  <si>
    <t>value</t>
  </si>
  <si>
    <t>instruct</t>
  </si>
  <si>
    <t>instruct_sys</t>
  </si>
  <si>
    <t>instruct_tips</t>
  </si>
  <si>
    <t>desc</t>
  </si>
  <si>
    <t>String</t>
  </si>
  <si>
    <t>Num</t>
  </si>
  <si>
    <t>team-1</t>
  </si>
  <si>
    <t>🎟️</t>
  </si>
  <si>
    <t>恶魔轮回小队邀请函</t>
  </si>
  <si>
    <t>Join_team</t>
  </si>
  <si>
    <t>最有潜力之人，将聚集于此
使用后你将加入《恶魔轮回小队》</t>
  </si>
  <si>
    <t>team-2</t>
  </si>
  <si>
    <t>天神轮回小队邀请函</t>
  </si>
  <si>
    <t>最有潜力之人，将聚集于此
使用后你将加入《天神轮回小队》</t>
  </si>
  <si>
    <t>team-3</t>
  </si>
  <si>
    <t>中州轮回小队邀请函</t>
  </si>
  <si>
    <t>最有潜力之人，将聚集于此
使用后你将加入《中州轮回小队》</t>
  </si>
  <si>
    <t>team-4</t>
  </si>
  <si>
    <t>六道轮回小队邀请函</t>
  </si>
  <si>
    <t>最有潜力之人，将聚集于此
使用后你将加入《六道轮回小队》</t>
  </si>
  <si>
    <t>获得经验值</t>
  </si>
  <si>
    <t>key</t>
  </si>
  <si>
    <t>att-1</t>
  </si>
  <si>
    <t>📕</t>
  </si>
  <si>
    <t>力量书</t>
  </si>
  <si>
    <t>使用后将增加1点力量</t>
  </si>
  <si>
    <t>使用 + 道具ID</t>
  </si>
  <si>
    <t>使用2</t>
  </si>
  <si>
    <t>att-2</t>
  </si>
  <si>
    <t>敏捷书</t>
  </si>
  <si>
    <t>使用后将增加1点敏捷</t>
  </si>
  <si>
    <t>att-3</t>
  </si>
  <si>
    <t>精神书</t>
  </si>
  <si>
    <t>使用后将增加1点精神</t>
  </si>
  <si>
    <t>att-4</t>
  </si>
  <si>
    <t>幸运书</t>
  </si>
  <si>
    <t>使用后将增加1点幸运</t>
  </si>
  <si>
    <t>att-5</t>
  </si>
  <si>
    <t>生命书</t>
  </si>
  <si>
    <t>使用后将增加1点生命</t>
  </si>
  <si>
    <t>att-6</t>
  </si>
  <si>
    <t>魔法书</t>
  </si>
  <si>
    <t>使用后将增加1点魔法值</t>
  </si>
  <si>
    <t>att-7</t>
  </si>
  <si>
    <t>最大物攻书</t>
  </si>
  <si>
    <t>使用后将增加1点物攻</t>
  </si>
  <si>
    <t>att-8</t>
  </si>
  <si>
    <t>物防书</t>
  </si>
  <si>
    <t>使用后将增加1点物防</t>
  </si>
  <si>
    <t>att-9</t>
  </si>
  <si>
    <t>最大魔攻书</t>
  </si>
  <si>
    <t>使用后将增加1点魔攻</t>
  </si>
  <si>
    <t>att-10</t>
  </si>
  <si>
    <t>魔防书</t>
  </si>
  <si>
    <t>使用后将增加1点魔防</t>
  </si>
  <si>
    <t>att-11</t>
  </si>
  <si>
    <t>最小物攻书</t>
  </si>
  <si>
    <t>使用后将增加1点最小物理攻击</t>
  </si>
  <si>
    <t>att-12</t>
  </si>
  <si>
    <t>最小魔攻书</t>
  </si>
  <si>
    <t>使用后将增加1点最小魔法攻击</t>
  </si>
  <si>
    <t>prop-1</t>
  </si>
  <si>
    <t>复活币</t>
  </si>
  <si>
    <t>🪙</t>
  </si>
  <si>
    <t>复活</t>
  </si>
  <si>
    <t>用于复活自身,当没有此道具时，复活将花费💰️</t>
  </si>
  <si>
    <t>prop-2</t>
  </si>
  <si>
    <t>盲盒</t>
  </si>
  <si>
    <t>🎁</t>
  </si>
  <si>
    <t>OpenBlindBox</t>
  </si>
  <si>
    <t>盲盒，承载着无限可能的神秘魔匣，等待着你去挑战命运的轮盘，探索未知的奇迹。</t>
  </si>
  <si>
    <t>prop-3</t>
  </si>
  <si>
    <t>传送卷轴</t>
  </si>
  <si>
    <t>📄</t>
  </si>
  <si>
    <t>传送XcY</t>
  </si>
  <si>
    <t>传送1c4</t>
  </si>
  <si>
    <t>可用于在世界中传送到指定坐标点
注意！如目标点无法传送将传送失败并消耗掉卷轴</t>
  </si>
  <si>
    <t>prop-4</t>
  </si>
  <si>
    <t>天赋重置卡</t>
  </si>
  <si>
    <t>💳</t>
  </si>
  <si>
    <t>Random_talent</t>
  </si>
  <si>
    <t xml:space="preserve">天赋重置卡是一种神奇的道具，它让人们可以像在游戏中一样随意重置自己的天赋。无论是在现实生活中还是在虚拟世界中，天赋重置卡都能为人们提供机会重新评估和调整自己的才能、技能和特点。不再受限于一成不变的天赋，人们可以以全新的方式探索自己的潜力，并通过重新分配天赋点数来开拓不同的道路。天赋证明为人们创造了独特而有趣的体验，使人们能够在人生的旅程中获得更多的自由和掌控力。
注意:一旦使用你将无法回到过去.
</t>
  </si>
  <si>
    <t>prop-5</t>
  </si>
  <si>
    <t>精灵球</t>
  </si>
  <si>
    <t>🔮</t>
  </si>
  <si>
    <t>捕捉+怪物ID</t>
  </si>
  <si>
    <t>捕捉1</t>
  </si>
  <si>
    <t>当玩家使用精灵球捕捉怪物时，它就像是投射出去的希望之球，一束神秘的光芒环绕着目标，将其包裹其中。在这一刻，时间仿佛凝固了，所有的期待与未知都聚集在这个微小的球体内。当精灵球成功捕捉到怪物后，怪物化为一颗宠物蛋，蕴含着无限可能与未来的冒险。每一个宠物蛋都是一个未知的谜团，等待着玩家亲手孵化，培养出属于自己的独特伙伴。在这个神奇的世界里，精灵球不仅代表着捕捉和征服，更象征着友情与成长的开始。让我们一起揭开这些神奇宠物蛋背后的故事吧！</t>
  </si>
  <si>
    <t>prop-6</t>
  </si>
  <si>
    <t>改名卡</t>
  </si>
  <si>
    <t>角色改名+名称</t>
  </si>
  <si>
    <t>角色改名楚轩</t>
  </si>
  <si>
    <t>角色改名所需道具</t>
  </si>
  <si>
    <t>prop-7</t>
  </si>
  <si>
    <t>E级支线剧情</t>
  </si>
  <si>
    <t>💰</t>
  </si>
  <si>
    <t>Open_story</t>
  </si>
  <si>
    <t>打开后可随机获得1-100金币</t>
  </si>
  <si>
    <t>prop-8</t>
  </si>
  <si>
    <t>D级支线剧情</t>
  </si>
  <si>
    <t>打开后可随机获得1-200金币</t>
  </si>
  <si>
    <t>prop-9</t>
  </si>
  <si>
    <t>涩涩卡</t>
  </si>
  <si>
    <t>Random_BodyStyle</t>
  </si>
  <si>
    <t>使用后将随机更换人物形象,并且永久增加1点最大生命值</t>
  </si>
  <si>
    <t>prop-10</t>
  </si>
  <si>
    <t>委托书</t>
  </si>
  <si>
    <r>
      <rPr>
        <sz val="10"/>
        <color theme="1"/>
        <rFont val="宋体"/>
        <charset val="134"/>
      </rPr>
      <t>✅</t>
    </r>
    <r>
      <rPr>
        <sz val="10"/>
        <color theme="1"/>
        <rFont val="Microsoft YaHei"/>
        <charset val="134"/>
      </rPr>
      <t>︎</t>
    </r>
  </si>
  <si>
    <t>Random_EntrustTask</t>
  </si>
  <si>
    <t>使用后将刷新重置每日委托任务的内容</t>
  </si>
  <si>
    <t>prop-11</t>
  </si>
  <si>
    <t>称号样式卡</t>
  </si>
  <si>
    <t>Random_TitleStyle</t>
  </si>
  <si>
    <t>使用后将随机更换称号样式,并且永久增加1点最大生命值💖</t>
  </si>
  <si>
    <t>prop-12</t>
  </si>
  <si>
    <t>称号重置卡</t>
  </si>
  <si>
    <t>Random_TitleAtt</t>
  </si>
  <si>
    <t>使用后将重新随机称号加成全部加成</t>
  </si>
  <si>
    <t>prop-13</t>
  </si>
  <si>
    <t>血统重置卡</t>
  </si>
  <si>
    <t>Random_Job</t>
  </si>
  <si>
    <t>使用后将重置血统,重置后有概率降低等级</t>
  </si>
  <si>
    <t>prop-14</t>
  </si>
  <si>
    <t>装备重铸卡</t>
  </si>
  <si>
    <t>铁匠铺</t>
  </si>
  <si>
    <t>此道具可用于[装备重铸][重铸背包装备],装备重铸可重置装备属性
注意:一旦使用你将无法撤销.</t>
  </si>
  <si>
    <t>prop-15</t>
  </si>
  <si>
    <t>金币支票</t>
  </si>
  <si>
    <t>🎫</t>
  </si>
  <si>
    <t>Exchange_gold</t>
  </si>
  <si>
    <t>为保证您的钱财不会丢失，所以金币通常会先经过[银行]进行托管转换为支票给您。使用后将获得1金币，金币是主神空间内唯一流通的货币</t>
  </si>
  <si>
    <t>prop-16</t>
  </si>
  <si>
    <t>T病毒原型</t>
  </si>
  <si>
    <t>🦠</t>
  </si>
  <si>
    <t>Open_dnaLock_1</t>
  </si>
  <si>
    <t>T病毒,又称暴君病毒。它拥有强化并重新组合生物遗传因子的特性，是以开发生物兵器为目的而诞生的恶魔产品。但大多数生物会受到强烈的副作用，在病毒的直接作用下大脑皮层部分坏死，智力严重下降，缺乏作为武器的基本要素——可控并且完全服从命令。使用后你有10%概率直接开启基因锁一阶且失败无副作用。(叠加使用可提高概率)</t>
  </si>
  <si>
    <t>prop-17</t>
  </si>
  <si>
    <t>经验书</t>
  </si>
  <si>
    <t>📙</t>
  </si>
  <si>
    <t>Open_ExpBook</t>
  </si>
  <si>
    <t>使用后将增加100经验值，可叠加使用</t>
  </si>
  <si>
    <t>prop-18</t>
  </si>
  <si>
    <t>小喇叭</t>
  </si>
  <si>
    <t>📢</t>
  </si>
  <si>
    <t>所有人+内容</t>
  </si>
  <si>
    <t>所有人+大家好</t>
  </si>
  <si>
    <t>你可以使用此道具向全服在线玩家发消息</t>
  </si>
  <si>
    <t>prop-19</t>
  </si>
  <si>
    <t>圣经</t>
  </si>
  <si>
    <t>💖</t>
  </si>
  <si>
    <t>祈祷</t>
  </si>
  <si>
    <t>Use_resState</t>
  </si>
  <si>
    <t>使用后将恢复百分之20最大生命,恢复百分之20最大蓝量</t>
  </si>
  <si>
    <t>prop-20</t>
  </si>
  <si>
    <t>灵魂结晶</t>
  </si>
  <si>
    <t>💎</t>
  </si>
  <si>
    <t>用于[铁匠铺]强化装备,通过砍树可获得此道具</t>
  </si>
  <si>
    <t>prop-21</t>
  </si>
  <si>
    <t>小鱼干</t>
  </si>
  <si>
    <r>
      <rPr>
        <sz val="10"/>
        <color theme="1"/>
        <rFont val="Microsoft YaHei"/>
        <charset val="134"/>
      </rPr>
      <t>🐟</t>
    </r>
    <r>
      <rPr>
        <sz val="10"/>
        <color theme="1"/>
        <rFont val="宋体"/>
        <charset val="134"/>
      </rPr>
      <t>️</t>
    </r>
  </si>
  <si>
    <t>挂机</t>
  </si>
  <si>
    <t>挂机后将分钟消耗1个小鱼干,通过钓鱼可获得此道具</t>
  </si>
  <si>
    <t>prop-22</t>
  </si>
  <si>
    <t>万能钥匙</t>
  </si>
  <si>
    <t>🗝️</t>
  </si>
  <si>
    <t>打开宝箱</t>
  </si>
  <si>
    <t>可用于打开宝箱</t>
  </si>
  <si>
    <t>prop-23</t>
  </si>
  <si>
    <t>澳门船票</t>
  </si>
  <si>
    <t>JoinWord_mingame</t>
  </si>
  <si>
    <t>使用后你将传送到《澳门赌场-最大的娱乐城》在这里一夜暴富不是难事</t>
  </si>
  <si>
    <t>prop-24</t>
  </si>
  <si>
    <t>B级支线剧情</t>
  </si>
  <si>
    <t>打开后可随机获得1-500金币</t>
  </si>
  <si>
    <t>装备名称</t>
  </si>
  <si>
    <t>图标</t>
  </si>
  <si>
    <t>装备类型</t>
  </si>
  <si>
    <t>拥有技能1</t>
  </si>
  <si>
    <t>type</t>
  </si>
  <si>
    <t>skill_2</t>
  </si>
  <si>
    <t>equip-1</t>
  </si>
  <si>
    <t>妖刀村雨</t>
  </si>
  <si>
    <t>🗡</t>
  </si>
  <si>
    <t>普通攻击-无想一刀</t>
  </si>
  <si>
    <t>equip-2</t>
  </si>
  <si>
    <t>草剃剑</t>
  </si>
  <si>
    <t>equip-3</t>
  </si>
  <si>
    <t>八咫镜</t>
  </si>
  <si>
    <t>🪞</t>
  </si>
  <si>
    <t>equip-4</t>
  </si>
  <si>
    <t>八坂琼曲玉</t>
  </si>
  <si>
    <t>equip-5</t>
  </si>
  <si>
    <t>轩辕剑</t>
  </si>
  <si>
    <t>不灭之握</t>
  </si>
  <si>
    <t>equip-6</t>
  </si>
  <si>
    <t>九齿钉耙</t>
  </si>
  <si>
    <t>equip-7</t>
  </si>
  <si>
    <t>崆峒印</t>
  </si>
  <si>
    <r>
      <rPr>
        <sz val="10"/>
        <color rgb="FF1F2328"/>
        <rFont val="宋体"/>
        <charset val="134"/>
      </rPr>
      <t>☸</t>
    </r>
    <r>
      <rPr>
        <sz val="10"/>
        <color rgb="FF1F2328"/>
        <rFont val="Microsoft YaHei"/>
        <charset val="134"/>
      </rPr>
      <t>️</t>
    </r>
  </si>
  <si>
    <t>equip-8</t>
  </si>
  <si>
    <t>狂徒铠甲</t>
  </si>
  <si>
    <t>🎽</t>
  </si>
  <si>
    <t>equip-9</t>
  </si>
  <si>
    <t>圣杯</t>
  </si>
  <si>
    <t>🏆︎</t>
  </si>
  <si>
    <t>equip-10</t>
  </si>
  <si>
    <t>泰拉棱镜</t>
  </si>
  <si>
    <t>equip-11</t>
  </si>
  <si>
    <t>星尘龙法杖</t>
  </si>
  <si>
    <t>🪄</t>
  </si>
  <si>
    <t>equip-12</t>
  </si>
  <si>
    <t>克苏鲁之眼</t>
  </si>
  <si>
    <t>👁︎</t>
  </si>
  <si>
    <t>equip-13</t>
  </si>
  <si>
    <t>守护者号角</t>
  </si>
  <si>
    <t>📯</t>
  </si>
  <si>
    <t>不屈-坚定不移</t>
  </si>
  <si>
    <t>equip-14</t>
  </si>
  <si>
    <t>封神榜</t>
  </si>
  <si>
    <t>equip-15</t>
  </si>
  <si>
    <t>东皇钟</t>
  </si>
  <si>
    <t>🔔</t>
  </si>
  <si>
    <t>equip-16</t>
  </si>
  <si>
    <t>盘古斧</t>
  </si>
  <si>
    <t>🪓</t>
  </si>
  <si>
    <t>equip-17</t>
  </si>
  <si>
    <t>炼妖壶</t>
  </si>
  <si>
    <t>🕎</t>
  </si>
  <si>
    <t>equip-18</t>
  </si>
  <si>
    <t>昊天塔</t>
  </si>
  <si>
    <t>🗼</t>
  </si>
  <si>
    <t>equip-19</t>
  </si>
  <si>
    <t>伏羲琴</t>
  </si>
  <si>
    <t>🎻</t>
  </si>
  <si>
    <t>equip-20</t>
  </si>
  <si>
    <t>神农鼎</t>
  </si>
  <si>
    <t>equip-21</t>
  </si>
  <si>
    <t>女娲石</t>
  </si>
  <si>
    <t>💠</t>
  </si>
  <si>
    <t>equip-22</t>
  </si>
  <si>
    <t>虎魄刀</t>
  </si>
  <si>
    <t>🔪</t>
  </si>
  <si>
    <t>equip-23</t>
  </si>
  <si>
    <t>高斯手枪</t>
  </si>
  <si>
    <t>🔫</t>
  </si>
  <si>
    <t>equip-24</t>
  </si>
  <si>
    <t>传国玉玺</t>
  </si>
  <si>
    <t>equip-25</t>
  </si>
  <si>
    <t>NBA总冠军戒指</t>
  </si>
  <si>
    <t>💍</t>
  </si>
  <si>
    <t>equip-26</t>
  </si>
  <si>
    <t>魔刀千刃</t>
  </si>
  <si>
    <t>普通攻击-人刀合一</t>
  </si>
  <si>
    <t>屏障-能量屏障</t>
  </si>
  <si>
    <t>equip-27</t>
  </si>
  <si>
    <t>雷神之锤</t>
  </si>
  <si>
    <t>🔨</t>
  </si>
  <si>
    <t>equip-28</t>
  </si>
  <si>
    <t>死神之镰</t>
  </si>
  <si>
    <t>☪️</t>
  </si>
  <si>
    <t>死亡一指-枯萎</t>
  </si>
  <si>
    <t>equip-29</t>
  </si>
  <si>
    <t>方天画戟</t>
  </si>
  <si>
    <t>普通攻击-横扫千军</t>
  </si>
  <si>
    <t>equip-30</t>
  </si>
  <si>
    <t>荆棘之甲</t>
  </si>
  <si>
    <t>🛡️</t>
  </si>
  <si>
    <t>盾反-荆棘护甲</t>
  </si>
  <si>
    <t>equip-31</t>
  </si>
  <si>
    <t>灭世者法帽</t>
  </si>
  <si>
    <t>🎩</t>
  </si>
  <si>
    <t>类型</t>
  </si>
  <si>
    <t>属性组成</t>
  </si>
  <si>
    <t>注备</t>
  </si>
  <si>
    <t>com</t>
  </si>
  <si>
    <t>tips</t>
  </si>
  <si>
    <t>Json</t>
  </si>
  <si>
    <t>物理伤害型</t>
  </si>
  <si>
    <t>魔法伤害型</t>
  </si>
  <si>
    <t>混合伤害型</t>
  </si>
  <si>
    <t>物理防御型</t>
  </si>
  <si>
    <t>魔法防御型</t>
  </si>
  <si>
    <t>混合防御型</t>
  </si>
  <si>
    <t>纯血型</t>
  </si>
  <si>
    <t>召唤型</t>
  </si>
  <si>
    <t>宠物型</t>
  </si>
  <si>
    <t>召唤混合型</t>
  </si>
  <si>
    <t>全能型</t>
  </si>
  <si>
    <t>纯蓝量</t>
  </si>
  <si>
    <t>物理攻速暴击</t>
  </si>
  <si>
    <t>test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</si>
</sst>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b/>
      <sz val="11"/>
      <color theme="1"/>
      <name val="Microsoft YaHei"/>
      <charset val="134"/>
    </font>
    <font>
      <b/>
      <sz val="11"/>
      <color rgb="FF000000"/>
      <name val="Microsoft YaHei"/>
      <charset val="134"/>
    </font>
    <font>
      <sz val="10"/>
      <color theme="1"/>
      <name val="Microsoft YaHei"/>
      <charset val="134"/>
    </font>
    <font>
      <b/>
      <sz val="11"/>
      <color rgb="FF9CDCFE"/>
      <name val="Microsoft YaHei"/>
      <charset val="134"/>
    </font>
    <font>
      <sz val="10"/>
      <color rgb="FFCE9178"/>
      <name val="Microsoft YaHei"/>
      <charset val="134"/>
    </font>
    <font>
      <sz val="10"/>
      <color rgb="FF1F2328"/>
      <name val="Microsoft YaHei"/>
      <charset val="134"/>
    </font>
    <font>
      <sz val="10"/>
      <color rgb="FF1F2328"/>
      <name val="宋体"/>
      <charset val="134"/>
    </font>
    <font>
      <sz val="10"/>
      <color rgb="FFA3A3A3"/>
      <name val="Microsoft YaHei"/>
      <charset val="134"/>
    </font>
    <font>
      <sz val="10"/>
      <color theme="1"/>
      <name val="宋体"/>
      <charset val="134"/>
    </font>
    <font>
      <sz val="10"/>
      <color rgb="FF40485B"/>
      <name val="Microsoft YaHei"/>
      <charset val="134"/>
    </font>
    <font>
      <sz val="10"/>
      <color rgb="FF000000"/>
      <name val="微软雅黑"/>
      <charset val="134"/>
    </font>
    <font>
      <sz val="10.5"/>
      <color rgb="FF6A9955"/>
      <name val="宋体"/>
      <charset val="134"/>
    </font>
    <font>
      <sz val="10.5"/>
      <color rgb="FFCE9178"/>
      <name val="宋体"/>
      <charset val="134"/>
    </font>
    <font>
      <sz val="12"/>
      <color rgb="FF1F232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3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5" borderId="4" applyNumberFormat="0" applyAlignment="0" applyProtection="0">
      <alignment vertical="center"/>
    </xf>
    <xf numFmtId="0" fontId="24" fillId="6" borderId="5" applyNumberFormat="0" applyAlignment="0" applyProtection="0">
      <alignment vertical="center"/>
    </xf>
    <xf numFmtId="0" fontId="25" fillId="6" borderId="4" applyNumberFormat="0" applyAlignment="0" applyProtection="0">
      <alignment vertical="center"/>
    </xf>
    <xf numFmtId="0" fontId="26" fillId="7" borderId="6" applyNumberFormat="0" applyAlignment="0" applyProtection="0">
      <alignment vertical="center"/>
    </xf>
    <xf numFmtId="0" fontId="27" fillId="0" borderId="7" applyNumberFormat="0" applyFill="0" applyAlignment="0" applyProtection="0">
      <alignment vertical="center"/>
    </xf>
    <xf numFmtId="0" fontId="28" fillId="0" borderId="8" applyNumberFormat="0" applyFill="0" applyAlignment="0" applyProtection="0">
      <alignment vertical="center"/>
    </xf>
    <xf numFmtId="0" fontId="29" fillId="8" borderId="0" applyNumberFormat="0" applyBorder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3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2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3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2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3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2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3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2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3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2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3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</cellStyleXfs>
  <cellXfs count="23">
    <xf numFmtId="0" fontId="0" fillId="0" borderId="0" xfId="0">
      <alignment vertical="center"/>
    </xf>
    <xf numFmtId="0" fontId="1" fillId="0" borderId="0" xfId="0" applyFont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2" fillId="0" borderId="0" xfId="0" applyNumberFormat="1" applyFont="1" applyFill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horizontal="center" vertical="center" wrapText="1"/>
    </xf>
    <xf numFmtId="0" fontId="0" fillId="3" borderId="0" xfId="0" applyFill="1">
      <alignment vertical="center"/>
    </xf>
    <xf numFmtId="0" fontId="9" fillId="0" borderId="0" xfId="0" applyFont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left" vertical="center" wrapText="1"/>
    </xf>
    <xf numFmtId="0" fontId="11" fillId="0" borderId="0" xfId="0" applyNumberFormat="1" applyFont="1" applyFill="1" applyAlignment="1">
      <alignment vertical="center"/>
    </xf>
    <xf numFmtId="0" fontId="12" fillId="0" borderId="0" xfId="0" applyFont="1" applyAlignment="1">
      <alignment vertical="center" wrapText="1"/>
    </xf>
    <xf numFmtId="0" fontId="13" fillId="0" borderId="0" xfId="0" applyFont="1" applyAlignment="1">
      <alignment vertical="center" wrapText="1"/>
    </xf>
    <xf numFmtId="0" fontId="0" fillId="0" borderId="0" xfId="0" applyAlignment="1">
      <alignment vertical="center" wrapText="1"/>
    </xf>
    <xf numFmtId="0" fontId="14" fillId="0" borderId="0" xfId="0" applyFon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&#37197;&#32622;_&#23646;&#24615;&#20215;&#20540;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tt_config"/>
    </sheetNames>
    <sheetDataSet>
      <sheetData sheetId="0">
        <row r="4">
          <cell r="A4" t="str">
            <v>Hp_Max</v>
          </cell>
        </row>
        <row r="4">
          <cell r="C4">
            <v>1</v>
          </cell>
        </row>
        <row r="5">
          <cell r="A5" t="str">
            <v>Hp_res</v>
          </cell>
        </row>
        <row r="6">
          <cell r="A6" t="str">
            <v>Mp_Max</v>
          </cell>
        </row>
        <row r="6">
          <cell r="C6">
            <v>2</v>
          </cell>
        </row>
        <row r="7">
          <cell r="A7" t="str">
            <v>Mp_res</v>
          </cell>
        </row>
        <row r="8">
          <cell r="A8" t="str">
            <v>Physical_Attack_max</v>
          </cell>
        </row>
        <row r="8">
          <cell r="C8">
            <v>8</v>
          </cell>
        </row>
        <row r="9">
          <cell r="A9" t="str">
            <v>Physical_Attack_min</v>
          </cell>
        </row>
        <row r="9">
          <cell r="C9">
            <v>10</v>
          </cell>
        </row>
        <row r="10">
          <cell r="A10" t="str">
            <v>Physical_Ls</v>
          </cell>
        </row>
        <row r="11">
          <cell r="A11" t="str">
            <v>Physical_crit</v>
          </cell>
        </row>
        <row r="12">
          <cell r="A12" t="str">
            <v>Physical_defense</v>
          </cell>
        </row>
        <row r="12">
          <cell r="C12">
            <v>12.6</v>
          </cell>
        </row>
        <row r="13">
          <cell r="A13" t="str">
            <v>Magic_Attack_max</v>
          </cell>
        </row>
        <row r="13">
          <cell r="C13">
            <v>4.5</v>
          </cell>
        </row>
        <row r="14">
          <cell r="A14" t="str">
            <v>Magic_Ls</v>
          </cell>
        </row>
        <row r="15">
          <cell r="A15" t="str">
            <v>Magic_defense</v>
          </cell>
        </row>
        <row r="15">
          <cell r="C15">
            <v>12.6</v>
          </cell>
        </row>
        <row r="16">
          <cell r="A16" t="str">
            <v>Magic_crit</v>
          </cell>
        </row>
        <row r="17">
          <cell r="A17" t="str">
            <v>Magic_Attack_min</v>
          </cell>
        </row>
        <row r="17">
          <cell r="C17">
            <v>15</v>
          </cell>
        </row>
        <row r="18">
          <cell r="A18" t="str">
            <v>Attack_Speed</v>
          </cell>
        </row>
        <row r="20">
          <cell r="A20" t="str">
            <v>Calls_leveMax</v>
          </cell>
        </row>
        <row r="21">
          <cell r="A21" t="str">
            <v>Calls_leveMin</v>
          </cell>
        </row>
        <row r="22">
          <cell r="A22" t="str">
            <v>Calls_sore</v>
          </cell>
        </row>
        <row r="23">
          <cell r="A23" t="str">
            <v>a</v>
          </cell>
        </row>
        <row r="24">
          <cell r="A24" t="str">
            <v>b</v>
          </cell>
        </row>
        <row r="24">
          <cell r="C24">
            <v>1.54670987038883</v>
          </cell>
        </row>
        <row r="25">
          <cell r="A25" t="str">
            <v>c</v>
          </cell>
        </row>
        <row r="25">
          <cell r="C25">
            <v>1.54505952380952</v>
          </cell>
        </row>
        <row r="26">
          <cell r="A26" t="str">
            <v>d</v>
          </cell>
        </row>
        <row r="26">
          <cell r="C26">
            <v>1.55497809380162</v>
          </cell>
        </row>
      </sheetData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workbookViewId="0">
      <selection activeCell="H13" sqref="H13"/>
    </sheetView>
  </sheetViews>
  <sheetFormatPr defaultColWidth="9" defaultRowHeight="13.5" outlineLevelRow="6" outlineLevelCol="7"/>
  <cols>
    <col min="1" max="1" width="12.75" customWidth="1"/>
    <col min="2" max="2" width="15.75" style="7" customWidth="1"/>
    <col min="3" max="3" width="32.375" style="7" customWidth="1"/>
    <col min="4" max="4" width="14.125" customWidth="1"/>
    <col min="5" max="6" width="21.375" customWidth="1"/>
    <col min="7" max="7" width="15.5" customWidth="1"/>
    <col min="8" max="8" width="107.25" customWidth="1"/>
  </cols>
  <sheetData>
    <row r="1" spans="1:8">
      <c r="A1" t="s">
        <v>0</v>
      </c>
      <c r="B1" s="7" t="s">
        <v>1</v>
      </c>
      <c r="C1" s="7" t="s">
        <v>2</v>
      </c>
      <c r="D1" t="s">
        <v>3</v>
      </c>
      <c r="E1" t="s">
        <v>4</v>
      </c>
      <c r="F1" t="s">
        <v>4</v>
      </c>
      <c r="G1" t="s">
        <v>5</v>
      </c>
      <c r="H1" t="s">
        <v>6</v>
      </c>
    </row>
    <row r="2" spans="1:8">
      <c r="A2" t="s">
        <v>0</v>
      </c>
      <c r="B2" s="7" t="s">
        <v>1</v>
      </c>
      <c r="C2" s="7" t="s">
        <v>7</v>
      </c>
      <c r="D2" t="s">
        <v>8</v>
      </c>
      <c r="E2" t="s">
        <v>9</v>
      </c>
      <c r="F2" t="s">
        <v>10</v>
      </c>
      <c r="G2" t="s">
        <v>11</v>
      </c>
      <c r="H2" t="s">
        <v>12</v>
      </c>
    </row>
    <row r="3" ht="16.5" spans="1:8">
      <c r="A3" s="18" t="s">
        <v>13</v>
      </c>
      <c r="B3" s="7" t="s">
        <v>13</v>
      </c>
      <c r="C3" s="7" t="s">
        <v>13</v>
      </c>
      <c r="D3" t="s">
        <v>14</v>
      </c>
      <c r="E3" t="s">
        <v>13</v>
      </c>
      <c r="F3" t="s">
        <v>13</v>
      </c>
      <c r="G3" t="s">
        <v>13</v>
      </c>
      <c r="H3" t="s">
        <v>13</v>
      </c>
    </row>
    <row r="4" ht="40.5" spans="1:8">
      <c r="A4" t="s">
        <v>15</v>
      </c>
      <c r="B4" s="7" t="s">
        <v>16</v>
      </c>
      <c r="C4" s="7" t="s">
        <v>17</v>
      </c>
      <c r="D4">
        <v>10000</v>
      </c>
      <c r="F4" t="s">
        <v>18</v>
      </c>
      <c r="H4" s="21" t="s">
        <v>19</v>
      </c>
    </row>
    <row r="5" ht="40.5" spans="1:8">
      <c r="A5" t="s">
        <v>20</v>
      </c>
      <c r="B5" s="22" t="s">
        <v>16</v>
      </c>
      <c r="C5" s="22" t="s">
        <v>21</v>
      </c>
      <c r="D5">
        <v>10000</v>
      </c>
      <c r="F5" t="s">
        <v>18</v>
      </c>
      <c r="H5" s="21" t="s">
        <v>22</v>
      </c>
    </row>
    <row r="6" ht="40.5" spans="1:8">
      <c r="A6" t="s">
        <v>23</v>
      </c>
      <c r="B6" s="7" t="s">
        <v>16</v>
      </c>
      <c r="C6" s="7" t="s">
        <v>24</v>
      </c>
      <c r="D6">
        <v>10000</v>
      </c>
      <c r="F6" t="s">
        <v>18</v>
      </c>
      <c r="H6" s="21" t="s">
        <v>25</v>
      </c>
    </row>
    <row r="7" ht="40.5" spans="1:8">
      <c r="A7" t="s">
        <v>26</v>
      </c>
      <c r="B7" s="7" t="s">
        <v>16</v>
      </c>
      <c r="C7" s="7" t="s">
        <v>27</v>
      </c>
      <c r="D7">
        <v>10000</v>
      </c>
      <c r="F7" t="s">
        <v>18</v>
      </c>
      <c r="H7" s="21" t="s">
        <v>28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workbookViewId="0">
      <selection activeCell="D4" sqref="D4:D15"/>
    </sheetView>
  </sheetViews>
  <sheetFormatPr defaultColWidth="9" defaultRowHeight="13.5" outlineLevelCol="7"/>
  <cols>
    <col min="1" max="1" width="10.25" customWidth="1"/>
    <col min="2" max="2" width="28.375" customWidth="1"/>
    <col min="3" max="4" width="16.1333333333333" customWidth="1"/>
    <col min="5" max="5" width="25.75" customWidth="1"/>
    <col min="6" max="6" width="41.5" customWidth="1"/>
    <col min="7" max="7" width="15.125" customWidth="1"/>
    <col min="8" max="8" width="14.875" customWidth="1"/>
  </cols>
  <sheetData>
    <row r="1" spans="1:8">
      <c r="A1" t="s">
        <v>0</v>
      </c>
      <c r="B1" t="s">
        <v>29</v>
      </c>
      <c r="C1" t="s">
        <v>1</v>
      </c>
      <c r="D1" t="s">
        <v>2</v>
      </c>
      <c r="E1" t="s">
        <v>3</v>
      </c>
      <c r="F1" t="s">
        <v>6</v>
      </c>
      <c r="G1" t="s">
        <v>4</v>
      </c>
      <c r="H1" t="s">
        <v>5</v>
      </c>
    </row>
    <row r="2" spans="1:8">
      <c r="A2" t="s">
        <v>0</v>
      </c>
      <c r="B2" t="s">
        <v>30</v>
      </c>
      <c r="C2" t="s">
        <v>1</v>
      </c>
      <c r="D2" t="s">
        <v>7</v>
      </c>
      <c r="E2" t="s">
        <v>8</v>
      </c>
      <c r="F2" t="s">
        <v>12</v>
      </c>
      <c r="G2" t="s">
        <v>9</v>
      </c>
      <c r="H2" t="s">
        <v>11</v>
      </c>
    </row>
    <row r="3" ht="16.5" spans="1:8">
      <c r="A3" s="18" t="s">
        <v>13</v>
      </c>
      <c r="B3" t="s">
        <v>13</v>
      </c>
      <c r="C3" t="s">
        <v>13</v>
      </c>
      <c r="D3" t="s">
        <v>13</v>
      </c>
      <c r="E3" t="s">
        <v>14</v>
      </c>
      <c r="F3" t="s">
        <v>13</v>
      </c>
      <c r="G3" t="s">
        <v>13</v>
      </c>
      <c r="H3" t="s">
        <v>13</v>
      </c>
    </row>
    <row r="4" spans="1:8">
      <c r="A4" t="s">
        <v>31</v>
      </c>
      <c r="B4" t="str">
        <f>[1]att_config!$A$24</f>
        <v>b</v>
      </c>
      <c r="C4" t="s">
        <v>32</v>
      </c>
      <c r="D4" t="s">
        <v>33</v>
      </c>
      <c r="E4">
        <f>[1]att_config!$C$24*100</f>
        <v>154.670987038883</v>
      </c>
      <c r="F4" t="s">
        <v>34</v>
      </c>
      <c r="G4" t="s">
        <v>35</v>
      </c>
      <c r="H4" t="s">
        <v>36</v>
      </c>
    </row>
    <row r="5" spans="1:8">
      <c r="A5" t="s">
        <v>37</v>
      </c>
      <c r="B5" t="str">
        <f>[1]att_config!$A$25</f>
        <v>c</v>
      </c>
      <c r="C5" t="s">
        <v>32</v>
      </c>
      <c r="D5" t="s">
        <v>38</v>
      </c>
      <c r="E5">
        <f>[1]att_config!$C$25*100</f>
        <v>154.505952380952</v>
      </c>
      <c r="F5" t="s">
        <v>39</v>
      </c>
      <c r="G5" t="s">
        <v>35</v>
      </c>
      <c r="H5" t="s">
        <v>36</v>
      </c>
    </row>
    <row r="6" spans="1:8">
      <c r="A6" t="s">
        <v>40</v>
      </c>
      <c r="B6" t="str">
        <f>[1]att_config!$A$26</f>
        <v>d</v>
      </c>
      <c r="C6" t="s">
        <v>32</v>
      </c>
      <c r="D6" t="s">
        <v>41</v>
      </c>
      <c r="E6">
        <f>[1]att_config!$C$26*100</f>
        <v>155.497809380162</v>
      </c>
      <c r="F6" t="s">
        <v>42</v>
      </c>
      <c r="G6" t="s">
        <v>35</v>
      </c>
      <c r="H6" t="s">
        <v>36</v>
      </c>
    </row>
    <row r="7" spans="1:8">
      <c r="A7" t="s">
        <v>43</v>
      </c>
      <c r="B7">
        <f>[1]att_config!$A$27</f>
        <v>0</v>
      </c>
      <c r="C7" t="s">
        <v>32</v>
      </c>
      <c r="D7" t="s">
        <v>44</v>
      </c>
      <c r="E7">
        <f>[1]att_config!$C$27*100</f>
        <v>0</v>
      </c>
      <c r="F7" t="s">
        <v>45</v>
      </c>
      <c r="G7" t="s">
        <v>35</v>
      </c>
      <c r="H7" t="s">
        <v>36</v>
      </c>
    </row>
    <row r="8" spans="1:8">
      <c r="A8" t="s">
        <v>46</v>
      </c>
      <c r="B8" t="str">
        <f>[1]att_config!$A$4</f>
        <v>Hp_Max</v>
      </c>
      <c r="C8" t="s">
        <v>32</v>
      </c>
      <c r="D8" t="s">
        <v>47</v>
      </c>
      <c r="E8">
        <f>[1]att_config!$C$4*100</f>
        <v>100</v>
      </c>
      <c r="F8" t="s">
        <v>48</v>
      </c>
      <c r="G8" t="s">
        <v>35</v>
      </c>
      <c r="H8" t="s">
        <v>36</v>
      </c>
    </row>
    <row r="9" spans="1:8">
      <c r="A9" t="s">
        <v>49</v>
      </c>
      <c r="B9" t="str">
        <f>[1]att_config!$A$6</f>
        <v>Mp_Max</v>
      </c>
      <c r="C9" t="s">
        <v>32</v>
      </c>
      <c r="D9" t="s">
        <v>50</v>
      </c>
      <c r="E9">
        <f>[1]att_config!$C$6*100</f>
        <v>200</v>
      </c>
      <c r="F9" t="s">
        <v>51</v>
      </c>
      <c r="G9" t="s">
        <v>35</v>
      </c>
      <c r="H9" t="s">
        <v>36</v>
      </c>
    </row>
    <row r="10" spans="1:8">
      <c r="A10" t="s">
        <v>52</v>
      </c>
      <c r="B10" t="str">
        <f>[1]att_config!$A$8</f>
        <v>Physical_Attack_max</v>
      </c>
      <c r="C10" t="s">
        <v>32</v>
      </c>
      <c r="D10" t="s">
        <v>53</v>
      </c>
      <c r="E10">
        <f>[1]att_config!$C$8*100</f>
        <v>800</v>
      </c>
      <c r="F10" t="s">
        <v>54</v>
      </c>
      <c r="G10" t="s">
        <v>35</v>
      </c>
      <c r="H10" t="s">
        <v>36</v>
      </c>
    </row>
    <row r="11" spans="1:8">
      <c r="A11" t="s">
        <v>55</v>
      </c>
      <c r="B11" t="str">
        <f>[1]att_config!$A$12</f>
        <v>Physical_defense</v>
      </c>
      <c r="C11" t="s">
        <v>32</v>
      </c>
      <c r="D11" t="s">
        <v>56</v>
      </c>
      <c r="E11">
        <f>[1]att_config!$C$12</f>
        <v>12.6</v>
      </c>
      <c r="F11" t="s">
        <v>57</v>
      </c>
      <c r="G11" t="s">
        <v>35</v>
      </c>
      <c r="H11" t="s">
        <v>36</v>
      </c>
    </row>
    <row r="12" spans="1:8">
      <c r="A12" t="s">
        <v>58</v>
      </c>
      <c r="B12" t="str">
        <f>[1]att_config!$A$13</f>
        <v>Magic_Attack_max</v>
      </c>
      <c r="C12" s="19" t="s">
        <v>32</v>
      </c>
      <c r="D12" s="19" t="s">
        <v>59</v>
      </c>
      <c r="E12">
        <f>[1]att_config!$C$13*100</f>
        <v>450</v>
      </c>
      <c r="F12" t="s">
        <v>60</v>
      </c>
      <c r="G12" t="s">
        <v>35</v>
      </c>
      <c r="H12" t="s">
        <v>36</v>
      </c>
    </row>
    <row r="13" spans="1:8">
      <c r="A13" t="s">
        <v>61</v>
      </c>
      <c r="B13" t="str">
        <f>[1]att_config!$A$15</f>
        <v>Magic_defense</v>
      </c>
      <c r="C13" t="s">
        <v>32</v>
      </c>
      <c r="D13" t="s">
        <v>62</v>
      </c>
      <c r="E13">
        <f>[1]att_config!$C$15</f>
        <v>12.6</v>
      </c>
      <c r="F13" t="s">
        <v>63</v>
      </c>
      <c r="G13" t="s">
        <v>35</v>
      </c>
      <c r="H13" t="s">
        <v>36</v>
      </c>
    </row>
    <row r="14" spans="1:8">
      <c r="A14" t="s">
        <v>64</v>
      </c>
      <c r="B14" t="str">
        <f>[1]att_config!$A$9</f>
        <v>Physical_Attack_min</v>
      </c>
      <c r="C14" s="20" t="s">
        <v>32</v>
      </c>
      <c r="D14" t="s">
        <v>65</v>
      </c>
      <c r="E14">
        <f>[1]att_config!$C$9*100</f>
        <v>1000</v>
      </c>
      <c r="F14" t="s">
        <v>66</v>
      </c>
      <c r="G14" t="s">
        <v>35</v>
      </c>
      <c r="H14" t="s">
        <v>36</v>
      </c>
    </row>
    <row r="15" spans="1:8">
      <c r="A15" t="s">
        <v>67</v>
      </c>
      <c r="B15" t="str">
        <f>[1]att_config!$A$17</f>
        <v>Magic_Attack_min</v>
      </c>
      <c r="C15" s="20" t="s">
        <v>32</v>
      </c>
      <c r="D15" t="s">
        <v>68</v>
      </c>
      <c r="E15">
        <f>[1]att_config!$C$17*100</f>
        <v>1500</v>
      </c>
      <c r="F15" t="s">
        <v>69</v>
      </c>
      <c r="G15" t="s">
        <v>35</v>
      </c>
      <c r="H15" t="s">
        <v>36</v>
      </c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7"/>
  <sheetViews>
    <sheetView tabSelected="1" topLeftCell="A8" workbookViewId="0">
      <selection activeCell="D13" sqref="D13"/>
    </sheetView>
  </sheetViews>
  <sheetFormatPr defaultColWidth="9" defaultRowHeight="13.5" outlineLevelCol="7"/>
  <cols>
    <col min="1" max="1" width="11.3416666666667" customWidth="1"/>
    <col min="2" max="2" width="14.675" customWidth="1"/>
    <col min="3" max="3" width="10.175" customWidth="1"/>
    <col min="4" max="4" width="12.3416666666667" customWidth="1"/>
    <col min="5" max="5" width="16.175" customWidth="1"/>
    <col min="6" max="6" width="23.8416666666667" style="7" customWidth="1"/>
    <col min="7" max="7" width="16.175" customWidth="1"/>
    <col min="8" max="8" width="71.5" customWidth="1"/>
  </cols>
  <sheetData>
    <row r="1" ht="22.5" customHeight="1" spans="1:8">
      <c r="A1" s="1" t="s">
        <v>0</v>
      </c>
      <c r="B1" s="1" t="s">
        <v>2</v>
      </c>
      <c r="C1" s="1" t="s">
        <v>1</v>
      </c>
      <c r="D1" s="1" t="s">
        <v>3</v>
      </c>
      <c r="E1" s="1" t="s">
        <v>4</v>
      </c>
      <c r="F1" s="1" t="s">
        <v>4</v>
      </c>
      <c r="G1" s="1" t="s">
        <v>5</v>
      </c>
      <c r="H1" s="1" t="s">
        <v>6</v>
      </c>
    </row>
    <row r="2" ht="22.5" customHeight="1" spans="1:8">
      <c r="A2" s="1" t="s">
        <v>0</v>
      </c>
      <c r="B2" s="1" t="s">
        <v>7</v>
      </c>
      <c r="C2" s="1" t="s">
        <v>1</v>
      </c>
      <c r="D2" s="1" t="s">
        <v>8</v>
      </c>
      <c r="E2" s="1" t="s">
        <v>9</v>
      </c>
      <c r="F2" s="1" t="s">
        <v>10</v>
      </c>
      <c r="G2" s="1" t="s">
        <v>11</v>
      </c>
      <c r="H2" s="1" t="s">
        <v>12</v>
      </c>
    </row>
    <row r="3" ht="22.5" customHeight="1" spans="1:8">
      <c r="A3" s="3" t="s">
        <v>13</v>
      </c>
      <c r="B3" s="1" t="s">
        <v>13</v>
      </c>
      <c r="C3" s="1" t="s">
        <v>13</v>
      </c>
      <c r="D3" s="1" t="s">
        <v>14</v>
      </c>
      <c r="E3" s="1" t="s">
        <v>13</v>
      </c>
      <c r="F3" s="1" t="s">
        <v>13</v>
      </c>
      <c r="G3" s="1" t="s">
        <v>13</v>
      </c>
      <c r="H3" s="1" t="s">
        <v>13</v>
      </c>
    </row>
    <row r="4" ht="22.5" customHeight="1" spans="1:8">
      <c r="A4" s="4" t="s">
        <v>70</v>
      </c>
      <c r="B4" s="4" t="s">
        <v>71</v>
      </c>
      <c r="C4" s="4" t="s">
        <v>72</v>
      </c>
      <c r="D4" s="4">
        <v>100</v>
      </c>
      <c r="E4" s="4" t="s">
        <v>73</v>
      </c>
      <c r="F4" s="4"/>
      <c r="G4" s="4" t="s">
        <v>73</v>
      </c>
      <c r="H4" s="5" t="s">
        <v>74</v>
      </c>
    </row>
    <row r="5" ht="39" customHeight="1" spans="1:8">
      <c r="A5" s="4" t="s">
        <v>75</v>
      </c>
      <c r="B5" s="4" t="s">
        <v>76</v>
      </c>
      <c r="C5" s="4" t="s">
        <v>77</v>
      </c>
      <c r="D5" s="4">
        <f>(D4+D6+D7+D8+D10+D11+D12+D13+D14+D15+D17+D16+D9+D18+D19+D22+D23+D24+D21+D25+D26+D27)/10</f>
        <v>1554.1</v>
      </c>
      <c r="E5" s="4"/>
      <c r="F5" s="4" t="s">
        <v>78</v>
      </c>
      <c r="G5" s="4"/>
      <c r="H5" s="5" t="s">
        <v>79</v>
      </c>
    </row>
    <row r="6" ht="39" customHeight="1" spans="1:8">
      <c r="A6" s="4" t="s">
        <v>80</v>
      </c>
      <c r="B6" s="4" t="s">
        <v>81</v>
      </c>
      <c r="C6" s="4" t="s">
        <v>82</v>
      </c>
      <c r="D6" s="4">
        <v>500</v>
      </c>
      <c r="E6" s="4" t="s">
        <v>83</v>
      </c>
      <c r="F6" s="4"/>
      <c r="G6" s="4" t="s">
        <v>84</v>
      </c>
      <c r="H6" s="5" t="s">
        <v>85</v>
      </c>
    </row>
    <row r="7" ht="154.5" customHeight="1" spans="1:8">
      <c r="A7" s="4" t="s">
        <v>86</v>
      </c>
      <c r="B7" s="4" t="s">
        <v>87</v>
      </c>
      <c r="C7" s="4" t="s">
        <v>88</v>
      </c>
      <c r="D7" s="4">
        <v>2000</v>
      </c>
      <c r="E7" s="4"/>
      <c r="F7" s="4" t="s">
        <v>89</v>
      </c>
      <c r="G7" s="4"/>
      <c r="H7" s="5" t="s">
        <v>90</v>
      </c>
    </row>
    <row r="8" ht="138" customHeight="1" spans="1:8">
      <c r="A8" s="4" t="s">
        <v>91</v>
      </c>
      <c r="B8" s="4" t="s">
        <v>92</v>
      </c>
      <c r="C8" s="4" t="s">
        <v>93</v>
      </c>
      <c r="D8" s="4">
        <v>1000</v>
      </c>
      <c r="E8" s="4" t="s">
        <v>94</v>
      </c>
      <c r="F8" s="4"/>
      <c r="G8" s="4" t="s">
        <v>95</v>
      </c>
      <c r="H8" s="5" t="s">
        <v>96</v>
      </c>
    </row>
    <row r="9" ht="22.5" customHeight="1" spans="1:8">
      <c r="A9" s="4" t="s">
        <v>97</v>
      </c>
      <c r="B9" s="4" t="s">
        <v>98</v>
      </c>
      <c r="C9" s="4" t="s">
        <v>88</v>
      </c>
      <c r="D9" s="4">
        <v>100</v>
      </c>
      <c r="E9" s="4" t="s">
        <v>99</v>
      </c>
      <c r="F9" s="4"/>
      <c r="G9" s="4" t="s">
        <v>100</v>
      </c>
      <c r="H9" s="5" t="s">
        <v>101</v>
      </c>
    </row>
    <row r="10" ht="22.5" customHeight="1" spans="1:8">
      <c r="A10" s="4" t="s">
        <v>102</v>
      </c>
      <c r="B10" s="4" t="s">
        <v>103</v>
      </c>
      <c r="C10" s="4" t="s">
        <v>104</v>
      </c>
      <c r="D10" s="4">
        <v>50</v>
      </c>
      <c r="E10" s="4"/>
      <c r="F10" s="4" t="s">
        <v>105</v>
      </c>
      <c r="G10" s="4"/>
      <c r="H10" s="5" t="s">
        <v>106</v>
      </c>
    </row>
    <row r="11" ht="22.5" customHeight="1" spans="1:8">
      <c r="A11" s="4" t="s">
        <v>107</v>
      </c>
      <c r="B11" s="4" t="s">
        <v>108</v>
      </c>
      <c r="C11" s="4" t="s">
        <v>104</v>
      </c>
      <c r="D11" s="4">
        <v>150</v>
      </c>
      <c r="E11" s="4"/>
      <c r="F11" s="4" t="s">
        <v>105</v>
      </c>
      <c r="G11" s="4"/>
      <c r="H11" s="5" t="s">
        <v>109</v>
      </c>
    </row>
    <row r="12" ht="22.5" customHeight="1" spans="1:8">
      <c r="A12" s="4" t="s">
        <v>110</v>
      </c>
      <c r="B12" s="4" t="s">
        <v>111</v>
      </c>
      <c r="C12" s="4" t="s">
        <v>88</v>
      </c>
      <c r="D12" s="4">
        <v>30</v>
      </c>
      <c r="E12" s="4"/>
      <c r="F12" s="4" t="s">
        <v>112</v>
      </c>
      <c r="G12" s="4"/>
      <c r="H12" s="5" t="s">
        <v>113</v>
      </c>
    </row>
    <row r="13" ht="22.5" customHeight="1" spans="1:8">
      <c r="A13" s="4" t="s">
        <v>114</v>
      </c>
      <c r="B13" s="4" t="s">
        <v>115</v>
      </c>
      <c r="C13" s="14" t="s">
        <v>116</v>
      </c>
      <c r="D13" s="4">
        <v>100</v>
      </c>
      <c r="E13" s="4"/>
      <c r="F13" s="4" t="s">
        <v>117</v>
      </c>
      <c r="G13" s="4"/>
      <c r="H13" s="5" t="s">
        <v>118</v>
      </c>
    </row>
    <row r="14" ht="22.5" customHeight="1" spans="1:8">
      <c r="A14" s="4" t="s">
        <v>119</v>
      </c>
      <c r="B14" s="15" t="s">
        <v>120</v>
      </c>
      <c r="C14" s="4" t="s">
        <v>88</v>
      </c>
      <c r="D14" s="4">
        <v>30</v>
      </c>
      <c r="E14" s="4"/>
      <c r="F14" s="4" t="s">
        <v>121</v>
      </c>
      <c r="G14" s="4"/>
      <c r="H14" s="5" t="s">
        <v>122</v>
      </c>
    </row>
    <row r="15" ht="22.5" customHeight="1" spans="1:8">
      <c r="A15" s="4" t="s">
        <v>123</v>
      </c>
      <c r="B15" s="15" t="s">
        <v>124</v>
      </c>
      <c r="C15" s="4" t="s">
        <v>88</v>
      </c>
      <c r="D15" s="4">
        <v>100</v>
      </c>
      <c r="E15" s="4"/>
      <c r="F15" s="4" t="s">
        <v>125</v>
      </c>
      <c r="G15" s="4"/>
      <c r="H15" s="5" t="s">
        <v>126</v>
      </c>
    </row>
    <row r="16" ht="22.5" customHeight="1" spans="1:8">
      <c r="A16" s="4" t="s">
        <v>127</v>
      </c>
      <c r="B16" s="4" t="s">
        <v>128</v>
      </c>
      <c r="C16" s="4" t="s">
        <v>88</v>
      </c>
      <c r="D16" s="4">
        <v>100</v>
      </c>
      <c r="E16" s="4"/>
      <c r="F16" s="4" t="s">
        <v>129</v>
      </c>
      <c r="G16" s="4"/>
      <c r="H16" s="5" t="s">
        <v>130</v>
      </c>
    </row>
    <row r="17" ht="39" customHeight="1" spans="1:8">
      <c r="A17" s="4" t="s">
        <v>131</v>
      </c>
      <c r="B17" s="4" t="s">
        <v>132</v>
      </c>
      <c r="C17" s="4" t="s">
        <v>88</v>
      </c>
      <c r="D17" s="4">
        <v>300</v>
      </c>
      <c r="E17" s="4" t="s">
        <v>133</v>
      </c>
      <c r="F17" s="4"/>
      <c r="G17" s="4" t="s">
        <v>133</v>
      </c>
      <c r="H17" s="5" t="s">
        <v>134</v>
      </c>
    </row>
    <row r="18" s="13" customFormat="1" ht="39" customHeight="1" spans="1:8">
      <c r="A18" s="16" t="s">
        <v>135</v>
      </c>
      <c r="B18" s="16" t="s">
        <v>136</v>
      </c>
      <c r="C18" s="16" t="s">
        <v>137</v>
      </c>
      <c r="D18" s="16">
        <v>1</v>
      </c>
      <c r="E18" s="16"/>
      <c r="F18" s="16" t="s">
        <v>138</v>
      </c>
      <c r="G18" s="16"/>
      <c r="H18" s="17" t="s">
        <v>139</v>
      </c>
    </row>
    <row r="19" ht="105" customHeight="1" spans="1:8">
      <c r="A19" s="4" t="s">
        <v>140</v>
      </c>
      <c r="B19" s="4" t="s">
        <v>141</v>
      </c>
      <c r="C19" s="4" t="s">
        <v>142</v>
      </c>
      <c r="D19" s="4">
        <v>10000</v>
      </c>
      <c r="E19" s="4"/>
      <c r="F19" s="4" t="s">
        <v>143</v>
      </c>
      <c r="G19" s="4"/>
      <c r="H19" s="5" t="s">
        <v>144</v>
      </c>
    </row>
    <row r="20" ht="22.5" customHeight="1" spans="1:8">
      <c r="A20" s="4" t="s">
        <v>145</v>
      </c>
      <c r="B20" s="4" t="s">
        <v>146</v>
      </c>
      <c r="C20" s="4" t="s">
        <v>147</v>
      </c>
      <c r="D20" s="4">
        <v>2</v>
      </c>
      <c r="E20" s="4"/>
      <c r="F20" s="4" t="s">
        <v>148</v>
      </c>
      <c r="G20" s="4"/>
      <c r="H20" s="5" t="s">
        <v>149</v>
      </c>
    </row>
    <row r="21" ht="22.5" customHeight="1" spans="1:8">
      <c r="A21" s="4" t="s">
        <v>150</v>
      </c>
      <c r="B21" s="4" t="s">
        <v>151</v>
      </c>
      <c r="C21" s="4" t="s">
        <v>152</v>
      </c>
      <c r="D21" s="4">
        <v>10</v>
      </c>
      <c r="E21" s="4" t="s">
        <v>153</v>
      </c>
      <c r="F21" s="4"/>
      <c r="G21" s="4" t="s">
        <v>154</v>
      </c>
      <c r="H21" s="5" t="s">
        <v>155</v>
      </c>
    </row>
    <row r="22" ht="22.5" customHeight="1" spans="1:8">
      <c r="A22" s="4" t="s">
        <v>156</v>
      </c>
      <c r="B22" s="4" t="s">
        <v>157</v>
      </c>
      <c r="C22" s="4" t="s">
        <v>158</v>
      </c>
      <c r="D22" s="4">
        <v>100</v>
      </c>
      <c r="E22" s="4" t="s">
        <v>159</v>
      </c>
      <c r="F22" s="4" t="s">
        <v>160</v>
      </c>
      <c r="G22" s="4" t="s">
        <v>159</v>
      </c>
      <c r="H22" s="5" t="s">
        <v>161</v>
      </c>
    </row>
    <row r="23" s="13" customFormat="1" ht="22.5" customHeight="1" spans="1:8">
      <c r="A23" s="16" t="s">
        <v>162</v>
      </c>
      <c r="B23" s="16" t="s">
        <v>163</v>
      </c>
      <c r="C23" s="16" t="s">
        <v>164</v>
      </c>
      <c r="D23" s="16">
        <v>500</v>
      </c>
      <c r="E23" s="16" t="s">
        <v>133</v>
      </c>
      <c r="F23" s="16"/>
      <c r="G23" s="16" t="s">
        <v>133</v>
      </c>
      <c r="H23" s="17" t="s">
        <v>165</v>
      </c>
    </row>
    <row r="24" s="13" customFormat="1" ht="22.5" customHeight="1" spans="1:8">
      <c r="A24" s="16" t="s">
        <v>166</v>
      </c>
      <c r="B24" s="16" t="s">
        <v>167</v>
      </c>
      <c r="C24" s="16" t="s">
        <v>168</v>
      </c>
      <c r="D24" s="16">
        <v>10</v>
      </c>
      <c r="E24" s="16" t="s">
        <v>169</v>
      </c>
      <c r="F24" s="16"/>
      <c r="G24" s="16" t="s">
        <v>169</v>
      </c>
      <c r="H24" s="17" t="s">
        <v>170</v>
      </c>
    </row>
    <row r="25" spans="1:8">
      <c r="A25" t="s">
        <v>171</v>
      </c>
      <c r="B25" t="s">
        <v>172</v>
      </c>
      <c r="C25" t="s">
        <v>173</v>
      </c>
      <c r="D25">
        <v>100</v>
      </c>
      <c r="E25" t="s">
        <v>174</v>
      </c>
      <c r="G25" t="s">
        <v>174</v>
      </c>
      <c r="H25" t="s">
        <v>175</v>
      </c>
    </row>
    <row r="26" spans="1:8">
      <c r="A26" t="s">
        <v>176</v>
      </c>
      <c r="B26" t="s">
        <v>177</v>
      </c>
      <c r="C26" t="s">
        <v>137</v>
      </c>
      <c r="D26">
        <v>10</v>
      </c>
      <c r="F26" s="7" t="s">
        <v>178</v>
      </c>
      <c r="H26" t="s">
        <v>179</v>
      </c>
    </row>
    <row r="27" spans="1:8">
      <c r="A27" t="s">
        <v>180</v>
      </c>
      <c r="B27" t="s">
        <v>181</v>
      </c>
      <c r="C27" t="s">
        <v>104</v>
      </c>
      <c r="D27">
        <v>250</v>
      </c>
      <c r="F27" s="7" t="s">
        <v>105</v>
      </c>
      <c r="H27" t="s">
        <v>182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4"/>
  <sheetViews>
    <sheetView workbookViewId="0">
      <selection activeCell="D37" sqref="D37"/>
    </sheetView>
  </sheetViews>
  <sheetFormatPr defaultColWidth="9" defaultRowHeight="13.5" outlineLevelCol="5"/>
  <cols>
    <col min="1" max="1" width="12.175" customWidth="1"/>
    <col min="2" max="2" width="16.8416666666667" customWidth="1"/>
    <col min="3" max="3" width="10.175" style="7" customWidth="1"/>
    <col min="4" max="4" width="12.3416666666667" style="7" customWidth="1"/>
    <col min="5" max="5" width="21.0083333333333" customWidth="1"/>
    <col min="6" max="6" width="13.3416666666667" customWidth="1"/>
  </cols>
  <sheetData>
    <row r="1" ht="22.5" customHeight="1" spans="1:6">
      <c r="A1" s="1" t="s">
        <v>0</v>
      </c>
      <c r="B1" s="1" t="s">
        <v>183</v>
      </c>
      <c r="C1" s="1" t="s">
        <v>184</v>
      </c>
      <c r="D1" s="1" t="s">
        <v>185</v>
      </c>
      <c r="E1" s="1" t="s">
        <v>186</v>
      </c>
      <c r="F1" s="1" t="s">
        <v>186</v>
      </c>
    </row>
    <row r="2" ht="22.5" customHeight="1" spans="1:6">
      <c r="A2" s="1" t="s">
        <v>0</v>
      </c>
      <c r="B2" s="2" t="s">
        <v>7</v>
      </c>
      <c r="C2" s="1" t="s">
        <v>1</v>
      </c>
      <c r="D2" s="1" t="s">
        <v>187</v>
      </c>
      <c r="E2" s="8" t="s">
        <v>188</v>
      </c>
      <c r="F2" s="8" t="s">
        <v>188</v>
      </c>
    </row>
    <row r="3" ht="22.5" customHeight="1" spans="1:6">
      <c r="A3" s="3" t="s">
        <v>13</v>
      </c>
      <c r="B3" s="3" t="s">
        <v>13</v>
      </c>
      <c r="C3" s="1" t="s">
        <v>13</v>
      </c>
      <c r="D3" s="1" t="s">
        <v>14</v>
      </c>
      <c r="E3" s="3" t="s">
        <v>13</v>
      </c>
      <c r="F3" s="3" t="s">
        <v>13</v>
      </c>
    </row>
    <row r="4" ht="154.5" customHeight="1" spans="1:6">
      <c r="A4" s="4" t="s">
        <v>189</v>
      </c>
      <c r="B4" s="9" t="s">
        <v>190</v>
      </c>
      <c r="C4" s="4" t="s">
        <v>191</v>
      </c>
      <c r="D4" s="4">
        <v>2</v>
      </c>
      <c r="E4" s="4" t="s">
        <v>192</v>
      </c>
      <c r="F4" s="4"/>
    </row>
    <row r="5" ht="72" customHeight="1" spans="1:6">
      <c r="A5" s="4" t="s">
        <v>193</v>
      </c>
      <c r="B5" s="9" t="s">
        <v>194</v>
      </c>
      <c r="C5" s="4" t="s">
        <v>191</v>
      </c>
      <c r="D5" s="4">
        <v>1</v>
      </c>
      <c r="E5" s="4"/>
      <c r="F5" s="4"/>
    </row>
    <row r="6" ht="72" customHeight="1" spans="1:6">
      <c r="A6" s="4" t="s">
        <v>195</v>
      </c>
      <c r="B6" s="9" t="s">
        <v>196</v>
      </c>
      <c r="C6" s="4" t="s">
        <v>197</v>
      </c>
      <c r="D6" s="4">
        <v>11</v>
      </c>
      <c r="E6" s="4"/>
      <c r="F6" s="4"/>
    </row>
    <row r="7" ht="72" customHeight="1" spans="1:6">
      <c r="A7" s="4" t="s">
        <v>198</v>
      </c>
      <c r="B7" s="9" t="s">
        <v>199</v>
      </c>
      <c r="C7" s="4" t="s">
        <v>164</v>
      </c>
      <c r="D7" s="4">
        <v>11</v>
      </c>
      <c r="E7" s="4"/>
      <c r="F7" s="4"/>
    </row>
    <row r="8" ht="105" customHeight="1" spans="1:6">
      <c r="A8" s="4" t="s">
        <v>200</v>
      </c>
      <c r="B8" s="10" t="s">
        <v>201</v>
      </c>
      <c r="C8" s="10" t="s">
        <v>191</v>
      </c>
      <c r="D8" s="10">
        <v>1</v>
      </c>
      <c r="E8" s="4" t="s">
        <v>192</v>
      </c>
      <c r="F8" s="4" t="s">
        <v>202</v>
      </c>
    </row>
    <row r="9" ht="138" customHeight="1" spans="1:6">
      <c r="A9" s="4" t="s">
        <v>203</v>
      </c>
      <c r="B9" s="10" t="s">
        <v>204</v>
      </c>
      <c r="C9" s="10" t="s">
        <v>191</v>
      </c>
      <c r="D9" s="10">
        <v>1</v>
      </c>
      <c r="E9" s="4" t="s">
        <v>192</v>
      </c>
      <c r="F9" s="4" t="s">
        <v>202</v>
      </c>
    </row>
    <row r="10" ht="88.5" customHeight="1" spans="1:6">
      <c r="A10" s="4" t="s">
        <v>205</v>
      </c>
      <c r="B10" s="10" t="s">
        <v>206</v>
      </c>
      <c r="C10" s="11" t="s">
        <v>207</v>
      </c>
      <c r="D10" s="10">
        <v>6</v>
      </c>
      <c r="E10" s="4"/>
      <c r="F10" s="4"/>
    </row>
    <row r="11" ht="39" customHeight="1" spans="1:6">
      <c r="A11" s="4" t="s">
        <v>208</v>
      </c>
      <c r="B11" s="4" t="s">
        <v>209</v>
      </c>
      <c r="C11" s="4" t="s">
        <v>210</v>
      </c>
      <c r="D11" s="4">
        <v>7</v>
      </c>
      <c r="E11" s="4"/>
      <c r="F11" s="4"/>
    </row>
    <row r="12" ht="88.5" customHeight="1" spans="1:6">
      <c r="A12" s="4" t="s">
        <v>211</v>
      </c>
      <c r="B12" s="4" t="s">
        <v>212</v>
      </c>
      <c r="C12" s="4" t="s">
        <v>213</v>
      </c>
      <c r="D12" s="4">
        <v>11</v>
      </c>
      <c r="E12" s="4"/>
      <c r="F12" s="4"/>
    </row>
    <row r="13" ht="55.5" customHeight="1" spans="1:6">
      <c r="A13" s="4" t="s">
        <v>214</v>
      </c>
      <c r="B13" s="4" t="s">
        <v>215</v>
      </c>
      <c r="C13" s="4" t="s">
        <v>197</v>
      </c>
      <c r="D13" s="4">
        <v>8</v>
      </c>
      <c r="E13" s="4"/>
      <c r="F13" s="4"/>
    </row>
    <row r="14" ht="121.5" customHeight="1" spans="1:6">
      <c r="A14" s="4" t="s">
        <v>216</v>
      </c>
      <c r="B14" s="4" t="s">
        <v>217</v>
      </c>
      <c r="C14" s="4" t="s">
        <v>218</v>
      </c>
      <c r="D14" s="4">
        <v>10</v>
      </c>
      <c r="E14" s="4"/>
      <c r="F14" s="4"/>
    </row>
    <row r="15" ht="237" customHeight="1" spans="1:6">
      <c r="A15" s="4" t="s">
        <v>219</v>
      </c>
      <c r="B15" s="4" t="s">
        <v>220</v>
      </c>
      <c r="C15" s="4" t="s">
        <v>221</v>
      </c>
      <c r="D15" s="4">
        <v>8</v>
      </c>
      <c r="E15" s="4"/>
      <c r="F15" s="4"/>
    </row>
    <row r="16" ht="204" customHeight="1" spans="1:6">
      <c r="A16" s="4" t="s">
        <v>222</v>
      </c>
      <c r="B16" s="4" t="s">
        <v>223</v>
      </c>
      <c r="C16" s="4" t="s">
        <v>224</v>
      </c>
      <c r="D16" s="4">
        <v>6</v>
      </c>
      <c r="E16" s="4" t="s">
        <v>225</v>
      </c>
      <c r="F16" s="4"/>
    </row>
    <row r="17" ht="105" customHeight="1" spans="1:6">
      <c r="A17" s="4" t="s">
        <v>226</v>
      </c>
      <c r="B17" s="4" t="s">
        <v>227</v>
      </c>
      <c r="C17" s="4" t="s">
        <v>32</v>
      </c>
      <c r="D17" s="4">
        <v>11</v>
      </c>
      <c r="E17" s="4"/>
      <c r="F17" s="4"/>
    </row>
    <row r="18" ht="55.5" customHeight="1" spans="1:6">
      <c r="A18" s="4" t="s">
        <v>228</v>
      </c>
      <c r="B18" s="4" t="s">
        <v>229</v>
      </c>
      <c r="C18" s="4" t="s">
        <v>230</v>
      </c>
      <c r="D18" s="4">
        <v>6</v>
      </c>
      <c r="E18" s="4"/>
      <c r="F18" s="4"/>
    </row>
    <row r="19" ht="55.5" customHeight="1" spans="1:6">
      <c r="A19" s="4" t="s">
        <v>231</v>
      </c>
      <c r="B19" s="4" t="s">
        <v>232</v>
      </c>
      <c r="C19" s="4" t="s">
        <v>233</v>
      </c>
      <c r="D19" s="4">
        <v>1</v>
      </c>
      <c r="E19" s="4"/>
      <c r="F19" s="4"/>
    </row>
    <row r="20" ht="121.5" customHeight="1" spans="1:6">
      <c r="A20" s="4" t="s">
        <v>234</v>
      </c>
      <c r="B20" s="4" t="s">
        <v>235</v>
      </c>
      <c r="C20" s="4" t="s">
        <v>236</v>
      </c>
      <c r="D20" s="4">
        <v>8</v>
      </c>
      <c r="E20" s="4"/>
      <c r="F20" s="4"/>
    </row>
    <row r="21" ht="55.5" customHeight="1" spans="1:6">
      <c r="A21" s="4" t="s">
        <v>237</v>
      </c>
      <c r="B21" s="4" t="s">
        <v>238</v>
      </c>
      <c r="C21" s="4" t="s">
        <v>239</v>
      </c>
      <c r="D21" s="4">
        <v>7</v>
      </c>
      <c r="E21" s="4"/>
      <c r="F21" s="4"/>
    </row>
    <row r="22" ht="171" customHeight="1" spans="1:6">
      <c r="A22" s="4" t="s">
        <v>240</v>
      </c>
      <c r="B22" s="12" t="s">
        <v>241</v>
      </c>
      <c r="C22" s="4" t="s">
        <v>242</v>
      </c>
      <c r="D22" s="4">
        <v>2</v>
      </c>
      <c r="E22" s="4"/>
      <c r="F22" s="4"/>
    </row>
    <row r="23" ht="55.5" customHeight="1" spans="1:6">
      <c r="A23" s="4" t="s">
        <v>243</v>
      </c>
      <c r="B23" s="4" t="s">
        <v>244</v>
      </c>
      <c r="C23" s="4" t="s">
        <v>210</v>
      </c>
      <c r="D23" s="4">
        <v>4</v>
      </c>
      <c r="E23" s="4"/>
      <c r="F23" s="4"/>
    </row>
    <row r="24" ht="55.5" customHeight="1" spans="1:6">
      <c r="A24" s="4" t="s">
        <v>245</v>
      </c>
      <c r="B24" s="4" t="s">
        <v>246</v>
      </c>
      <c r="C24" s="4" t="s">
        <v>247</v>
      </c>
      <c r="D24" s="4">
        <v>11</v>
      </c>
      <c r="E24" s="4"/>
      <c r="F24" s="4"/>
    </row>
    <row r="25" ht="336" customHeight="1" spans="1:6">
      <c r="A25" s="4" t="s">
        <v>248</v>
      </c>
      <c r="B25" s="4" t="s">
        <v>249</v>
      </c>
      <c r="C25" s="4" t="s">
        <v>250</v>
      </c>
      <c r="D25" s="4">
        <v>3</v>
      </c>
      <c r="E25" s="4"/>
      <c r="F25" s="4"/>
    </row>
    <row r="26" ht="270" customHeight="1" spans="1:6">
      <c r="A26" s="4" t="s">
        <v>251</v>
      </c>
      <c r="B26" s="4" t="s">
        <v>252</v>
      </c>
      <c r="C26" s="4" t="s">
        <v>253</v>
      </c>
      <c r="D26" s="4">
        <v>13</v>
      </c>
      <c r="E26" s="4"/>
      <c r="F26" s="4"/>
    </row>
    <row r="27" ht="55.5" customHeight="1" spans="1:6">
      <c r="A27" s="4" t="s">
        <v>254</v>
      </c>
      <c r="B27" s="4" t="s">
        <v>255</v>
      </c>
      <c r="C27" s="4" t="s">
        <v>164</v>
      </c>
      <c r="D27" s="4">
        <v>11</v>
      </c>
      <c r="E27" s="4"/>
      <c r="F27" s="4"/>
    </row>
    <row r="28" ht="55.5" customHeight="1" spans="1:6">
      <c r="A28" s="4" t="s">
        <v>256</v>
      </c>
      <c r="B28" s="4" t="s">
        <v>257</v>
      </c>
      <c r="C28" s="4" t="s">
        <v>258</v>
      </c>
      <c r="D28" s="4">
        <v>7</v>
      </c>
      <c r="E28" s="4"/>
      <c r="F28" s="4"/>
    </row>
    <row r="29" ht="138" customHeight="1" spans="1:6">
      <c r="A29" s="4" t="s">
        <v>259</v>
      </c>
      <c r="B29" s="4" t="s">
        <v>260</v>
      </c>
      <c r="C29" s="4" t="s">
        <v>250</v>
      </c>
      <c r="D29" s="4">
        <v>1</v>
      </c>
      <c r="E29" s="4" t="s">
        <v>261</v>
      </c>
      <c r="F29" s="4" t="s">
        <v>262</v>
      </c>
    </row>
    <row r="30" ht="187.5" customHeight="1" spans="1:6">
      <c r="A30" s="4" t="s">
        <v>263</v>
      </c>
      <c r="B30" s="4" t="s">
        <v>264</v>
      </c>
      <c r="C30" s="4" t="s">
        <v>265</v>
      </c>
      <c r="D30" s="4">
        <v>3</v>
      </c>
      <c r="E30" s="4"/>
      <c r="F30" s="4"/>
    </row>
    <row r="31" spans="1:5">
      <c r="A31" t="s">
        <v>266</v>
      </c>
      <c r="B31" t="s">
        <v>267</v>
      </c>
      <c r="C31" s="7" t="s">
        <v>268</v>
      </c>
      <c r="D31" s="7">
        <v>2</v>
      </c>
      <c r="E31" t="s">
        <v>269</v>
      </c>
    </row>
    <row r="32" spans="1:5">
      <c r="A32" t="s">
        <v>270</v>
      </c>
      <c r="B32" t="s">
        <v>271</v>
      </c>
      <c r="C32" s="7" t="s">
        <v>250</v>
      </c>
      <c r="D32" s="7">
        <v>1</v>
      </c>
      <c r="E32" t="s">
        <v>272</v>
      </c>
    </row>
    <row r="33" spans="1:5">
      <c r="A33" t="s">
        <v>273</v>
      </c>
      <c r="B33" t="s">
        <v>274</v>
      </c>
      <c r="C33" s="7" t="s">
        <v>275</v>
      </c>
      <c r="D33" s="7">
        <v>4</v>
      </c>
      <c r="E33" t="s">
        <v>276</v>
      </c>
    </row>
    <row r="34" spans="1:4">
      <c r="A34" t="s">
        <v>277</v>
      </c>
      <c r="B34" t="s">
        <v>278</v>
      </c>
      <c r="C34" s="7" t="s">
        <v>279</v>
      </c>
      <c r="D34" s="7">
        <v>2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21"/>
  <sheetViews>
    <sheetView workbookViewId="0">
      <selection activeCell="C13" sqref="C13"/>
    </sheetView>
  </sheetViews>
  <sheetFormatPr defaultColWidth="9" defaultRowHeight="13.5" outlineLevelCol="2"/>
  <cols>
    <col min="1" max="1" width="10.175" customWidth="1"/>
    <col min="2" max="2" width="85.5" customWidth="1"/>
    <col min="3" max="3" width="16.675" customWidth="1"/>
  </cols>
  <sheetData>
    <row r="1" ht="22.5" customHeight="1" spans="1:3">
      <c r="A1" s="1" t="s">
        <v>280</v>
      </c>
      <c r="B1" s="1" t="s">
        <v>281</v>
      </c>
      <c r="C1" s="1" t="s">
        <v>282</v>
      </c>
    </row>
    <row r="2" ht="22.5" customHeight="1" spans="1:3">
      <c r="A2" s="1" t="s">
        <v>0</v>
      </c>
      <c r="B2" s="2" t="s">
        <v>283</v>
      </c>
      <c r="C2" s="1" t="s">
        <v>284</v>
      </c>
    </row>
    <row r="3" ht="22.5" customHeight="1" spans="1:3">
      <c r="A3" s="3" t="s">
        <v>13</v>
      </c>
      <c r="B3" s="3" t="s">
        <v>285</v>
      </c>
      <c r="C3" s="1" t="s">
        <v>13</v>
      </c>
    </row>
    <row r="4" ht="22.5" customHeight="1" spans="1:3">
      <c r="A4" s="4">
        <v>1</v>
      </c>
      <c r="B4" s="5" t="str">
        <f>"['"&amp;[1]att_config!$A$8&amp;"','"&amp;[1]att_config!$A$9&amp;"']"</f>
        <v>['Physical_Attack_max','Physical_Attack_min']</v>
      </c>
      <c r="C4" s="4" t="s">
        <v>286</v>
      </c>
    </row>
    <row r="5" ht="39" customHeight="1" spans="1:3">
      <c r="A5" s="4">
        <v>2</v>
      </c>
      <c r="B5" s="5" t="str">
        <f>"['"&amp;[1]att_config!$A$13&amp;"','"&amp;[1]att_config!$A$17&amp;"','"&amp;[1]att_config!$A$6&amp;"','"&amp;[1]att_config!$A$16&amp;"']"</f>
        <v>['Magic_Attack_max','Magic_Attack_min','Mp_Max','Magic_crit']</v>
      </c>
      <c r="C5" s="4" t="s">
        <v>287</v>
      </c>
    </row>
    <row r="6" ht="39" customHeight="1" spans="1:3">
      <c r="A6" s="4">
        <v>3</v>
      </c>
      <c r="B6" s="5" t="str">
        <f>"['"&amp;[1]att_config!$A$8&amp;"','"&amp;[1]att_config!$A$9&amp;"','"&amp;[1]att_config!$A$11&amp;"','"&amp;[1]att_config!$A$17&amp;"','"&amp;[1]att_config!$A$13&amp;"','"&amp;[1]att_config!$A$16&amp;"']"</f>
        <v>['Physical_Attack_max','Physical_Attack_min','Physical_crit','Magic_Attack_min','Magic_Attack_max','Magic_crit']</v>
      </c>
      <c r="C6" s="4" t="s">
        <v>288</v>
      </c>
    </row>
    <row r="7" ht="22.5" customHeight="1" spans="1:3">
      <c r="A7" s="4">
        <v>4</v>
      </c>
      <c r="B7" s="5" t="str">
        <f>"['"&amp;[1]att_config!$A$12&amp;"','"&amp;[1]att_config!$A$4&amp;"','"&amp;[1]att_config!$A$5&amp;"']"</f>
        <v>['Physical_defense','Hp_Max','Hp_res']</v>
      </c>
      <c r="C7" s="4" t="s">
        <v>289</v>
      </c>
    </row>
    <row r="8" ht="22.5" customHeight="1" spans="1:3">
      <c r="A8" s="4">
        <v>5</v>
      </c>
      <c r="B8" s="5" t="str">
        <f>"['"&amp;[1]att_config!$A$6&amp;"','"&amp;[1]att_config!$A$15&amp;"','"&amp;[1]att_config!$A$5&amp;"']"</f>
        <v>['Mp_Max','Magic_defense','Hp_res']</v>
      </c>
      <c r="C8" s="4" t="s">
        <v>290</v>
      </c>
    </row>
    <row r="9" ht="22.5" customHeight="1" spans="1:3">
      <c r="A9" s="4">
        <v>6</v>
      </c>
      <c r="B9" s="5" t="str">
        <f>"['"&amp;[1]att_config!$A$4&amp;"','"&amp;[1]att_config!$A$5&amp;"','"&amp;[1]att_config!$A$12&amp;"','"&amp;[1]att_config!$A$15&amp;"']"</f>
        <v>['Hp_Max','Hp_res','Physical_defense','Magic_defense']</v>
      </c>
      <c r="C9" s="4" t="s">
        <v>291</v>
      </c>
    </row>
    <row r="10" ht="22.5" customHeight="1" spans="1:3">
      <c r="A10" s="4">
        <v>7</v>
      </c>
      <c r="B10" s="5" t="str">
        <f>"['"&amp;[1]att_config!$A$4&amp;"','"&amp;[1]att_config!$A$5&amp;"']"</f>
        <v>['Hp_Max','Hp_res']</v>
      </c>
      <c r="C10" s="4" t="s">
        <v>292</v>
      </c>
    </row>
    <row r="11" ht="39" customHeight="1" spans="1:3">
      <c r="A11" s="4">
        <v>8</v>
      </c>
      <c r="B11" s="5" t="str">
        <f>"['"&amp;[1]att_config!$A$20&amp;"','"&amp;[1]att_config!$A$21&amp;"','"&amp;[1]att_config!$A$22&amp;"','"&amp;[1]att_config!$A$23&amp;"','"&amp;[1]att_config!$A$6&amp;"','"&amp;[1]att_config!$A$7&amp;"']"</f>
        <v>['Calls_leveMax','Calls_leveMin','Calls_sore','a','Mp_Max','Mp_res']</v>
      </c>
      <c r="C11" s="4" t="s">
        <v>293</v>
      </c>
    </row>
    <row r="12" ht="22.5" customHeight="1" spans="1:3">
      <c r="A12" s="4">
        <v>9</v>
      </c>
      <c r="B12" s="5" t="str">
        <f>"['"&amp;[1]att_config!$A$6&amp;"','"&amp;[1]att_config!$A$7&amp;"','"&amp;[1]att_config!$A$4&amp;"']"</f>
        <v>['Mp_Max','Mp_res','Hp_Max']</v>
      </c>
      <c r="C12" s="4" t="s">
        <v>294</v>
      </c>
    </row>
    <row r="13" ht="39" customHeight="1" spans="1:3">
      <c r="A13" s="4">
        <v>10</v>
      </c>
      <c r="B13" s="5" t="str">
        <f>"['"&amp;[1]att_config!$A$6&amp;"','"&amp;[1]att_config!$A$7&amp;"','"&amp;[1]att_config!$A$21&amp;"','"&amp;[1]att_config!$A$22&amp;"','"&amp;[1]att_config!$A$23&amp;"']"</f>
        <v>['Mp_Max','Mp_res','Calls_leveMin','Calls_sore','a']</v>
      </c>
      <c r="C13" s="4" t="s">
        <v>295</v>
      </c>
    </row>
    <row r="14" ht="88.5" customHeight="1" spans="1:3">
      <c r="A14" s="4">
        <v>11</v>
      </c>
      <c r="B14" s="5" t="str">
        <f>"['"&amp;[1]att_config!$A$4&amp;"','"&amp;[1]att_config!$A$5&amp;"','"&amp;[1]att_config!$A$6&amp;"','"&amp;[1]att_config!$A$7&amp;"','"&amp;[1]att_config!$A$8&amp;"','"&amp;[1]att_config!$A$9&amp;"','"&amp;[1]att_config!$A$10&amp;"','"&amp;[1]att_config!$A$11&amp;"','"&amp;[1]att_config!$A$12&amp;"','"&amp;[1]att_config!$A$13&amp;"','"&amp;[1]att_config!$A$14&amp;"','"&amp;[1]att_config!$A$15&amp;"','"&amp;[1]att_config!$A$16&amp;"','"&amp;[1]att_config!$A$17&amp;"','"&amp;[1]att_config!$A$18&amp;"','"&amp;[1]att_config!$A$20&amp;"','"&amp;[1]att_config!$A$21&amp;"','"&amp;[1]att_config!$A$21&amp;"']"</f>
        <v>['Hp_Max','Hp_res','Mp_Max','Mp_res','Physical_Attack_max','Physical_Attack_min','Physical_Ls','Physical_crit','Physical_defense','Magic_Attack_max','Magic_Ls','Magic_defense','Magic_crit','Magic_Attack_min','Attack_Speed','Calls_leveMax','Calls_leveMin','Calls_leveMin']</v>
      </c>
      <c r="C14" s="4" t="s">
        <v>296</v>
      </c>
    </row>
    <row r="15" ht="22.5" customHeight="1" spans="1:3">
      <c r="A15" s="4">
        <v>12</v>
      </c>
      <c r="B15" s="5" t="str">
        <f>"['"&amp;[1]att_config!$A$6&amp;"','"&amp;[1]att_config!$A$7&amp;"']"</f>
        <v>['Mp_Max','Mp_res']</v>
      </c>
      <c r="C15" s="4" t="s">
        <v>297</v>
      </c>
    </row>
    <row r="16" ht="22.5" customHeight="1" spans="1:3">
      <c r="A16">
        <v>13</v>
      </c>
      <c r="B16" t="str">
        <f>"['"&amp;[1]att_config!$A$18&amp;"','"&amp;[1]att_config!$A$8&amp;"','"&amp;[1]att_config!$A$9&amp;"','"&amp;[1]att_config!$A$11&amp;"']"</f>
        <v>['Attack_Speed','Physical_Attack_max','Physical_Attack_min','Physical_crit']</v>
      </c>
      <c r="C16" s="6" t="s">
        <v>298</v>
      </c>
    </row>
    <row r="17" ht="22.5" customHeight="1" spans="1:3">
      <c r="A17" s="6"/>
      <c r="B17" s="6"/>
      <c r="C17" s="6"/>
    </row>
    <row r="18" ht="22.5" customHeight="1" spans="1:3">
      <c r="A18" s="6"/>
      <c r="B18" s="6"/>
      <c r="C18" s="6"/>
    </row>
    <row r="19" ht="22.5" customHeight="1" spans="1:3">
      <c r="A19" s="6" t="s">
        <v>299</v>
      </c>
      <c r="B19" s="6" t="str">
        <f>"['"&amp;A4&amp;"','"&amp;A5&amp;"','"&amp;A8&amp;"','"&amp;A9&amp;"','"&amp;A12&amp;"','"&amp;A11&amp;"','"&amp;A11&amp;"','"&amp;A11&amp;"','"&amp;A12&amp;"','"&amp;A11&amp;"','"&amp;A11&amp;"','"&amp;A11&amp;"']"</f>
        <v>['1','2','5','6','9','8','8','8','9','8','8','8']</v>
      </c>
      <c r="C19" s="6"/>
    </row>
    <row r="20" ht="22.5" customHeight="1" spans="1:3">
      <c r="A20" s="6"/>
      <c r="B20" s="6"/>
      <c r="C20" s="6"/>
    </row>
    <row r="21" ht="22.5" customHeight="1" spans="1:3">
      <c r="A21" s="4"/>
      <c r="B21" s="5"/>
      <c r="C21" s="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prop_shareCard</vt:lpstr>
      <vt:lpstr>prop_AttBook</vt:lpstr>
      <vt:lpstr>prop_list</vt:lpstr>
      <vt:lpstr>cfg_equipTpl</vt:lpstr>
      <vt:lpstr>cfg_att_preference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楚轩</cp:lastModifiedBy>
  <dcterms:created xsi:type="dcterms:W3CDTF">2023-02-15T02:49:00Z</dcterms:created>
  <dcterms:modified xsi:type="dcterms:W3CDTF">2024-04-06T05:52:47Z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1050EFF12CBA4E2DBE3DCB6444373837</vt:lpwstr>
  </property>
  <property fmtid="{D5CDD505-2E9C-101B-9397-08002B2CF9AE}" pid="3" name="KSOProductBuildVer">
    <vt:lpwstr>2052-12.1.0.16417</vt:lpwstr>
  </property>
</Properties>
</file>